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es por Bloque" sheetId="1" r:id="rId5"/>
    <sheet state="visible" name="Lista_Final" sheetId="2" r:id="rId6"/>
  </sheets>
  <definedNames/>
  <calcPr/>
</workbook>
</file>

<file path=xl/sharedStrings.xml><?xml version="1.0" encoding="utf-8"?>
<sst xmlns="http://schemas.openxmlformats.org/spreadsheetml/2006/main" count="233" uniqueCount="195">
  <si>
    <t xml:space="preserve">Lista de componentes </t>
  </si>
  <si>
    <t>Bloque</t>
  </si>
  <si>
    <t>Nombre del componente</t>
  </si>
  <si>
    <t>Link de compra</t>
  </si>
  <si>
    <t>Precio Unitario</t>
  </si>
  <si>
    <t>Cantidad</t>
  </si>
  <si>
    <t>Precio Total</t>
  </si>
  <si>
    <t>Datasheet (Opc.)</t>
  </si>
  <si>
    <t>MCU</t>
  </si>
  <si>
    <t>ESP32-S3-WROOM-1-N8R8</t>
  </si>
  <si>
    <t>https://www.mouser.com/ProductDetail/Espressif-Systems/ESP32-S3-WROOM-1-N8R8?qs=sGAEpiMZZMu3sxpa5v1qrgCv7%252BoaLKgfH7xAI5zn0GU%3D</t>
  </si>
  <si>
    <t>https://documentation.espressif.com/esp32-s3-wroom-1_wroom-1u_datasheet_en.pdf</t>
  </si>
  <si>
    <t>https://documentation.espressif.com/esp32-s3_datasheet_en.pdf#cd-pins-peri-assignment</t>
  </si>
  <si>
    <t>LED Naranja (USB_POWER) HSML-C170-T0000</t>
  </si>
  <si>
    <t>https://www.mouser.com/ProductDetail/Broadcom-Avago/HSML-C170-T0000?qs=sGAEpiMZZMvVL5Kk7ZYykep7BDFQx5twly4B9l07HWqqDMKTJeHc1w%3D%3D</t>
  </si>
  <si>
    <t>20mA y 1.9V</t>
  </si>
  <si>
    <t>LED Verde (GENERAL_POWER) HSMG-C170</t>
  </si>
  <si>
    <t>https://www.mouser.com/ProductDetail/Broadcom-Avago/HSMG-C170?qs=sGAEpiMZZMvVL5Kk7ZYykU6waZc6h5a2mpct7P%2FVmRM%3D</t>
  </si>
  <si>
    <t>20mA y 2.2V</t>
  </si>
  <si>
    <t>LED Amarillo (Pin 38) HSMY-C170</t>
  </si>
  <si>
    <t>https://www.mouser.com/ProductDetail/Broadcom-Avago/HSMY-C170?qs=sGAEpiMZZMvVL5Kk7ZYykU6waZc6h5a2tf5h4hlvvfY%3D</t>
  </si>
  <si>
    <t>20mA y  2.1V</t>
  </si>
  <si>
    <t>Regulador LDO de 5V a 3.3V MIC35302WD-TR</t>
  </si>
  <si>
    <t>https://www.mouser.mx/ProductDetail/Microchip-Technology/MIC35302WD-TR?qs=U6T8BxXiZAWZXqeFVGyoZQ%3D%3D</t>
  </si>
  <si>
    <t>https://www.mouser.mx/datasheet/3/282/1/20005897B.pdf</t>
  </si>
  <si>
    <t>Resistencia 330 CRCW0805330RFKEA</t>
  </si>
  <si>
    <t>https://www.mouser.com/ProductDetail/Vishay/CRCW0805330RFKEA?qs=TrAHXYCGmqx6h6MysZWe0Q%3D%3D</t>
  </si>
  <si>
    <t>1/4W - 1%</t>
  </si>
  <si>
    <t>Puente de Diodos USBLC6-2SC6</t>
  </si>
  <si>
    <t>https://www.mouser.com/ProductDetail/STMicroelectronics/USBLC6-2SC6?qs=po45yt2pPpu%2FhNIlwQdTlg%3D%3D</t>
  </si>
  <si>
    <t>https://www.st.com/resource/en/datasheet/usblc6-2.pdf</t>
  </si>
  <si>
    <t>Switch boot y reset 430481025816</t>
  </si>
  <si>
    <t>https://www.mouser.es/ProductDetail/Wurth-Elektronik/430481025816?qs=wr8lucFkNMXXxhyqbLxcbg%3D%3D&amp;srsltid=AfmBOopEAMcNki5JVHsYr8AARUbFlf-gtqm_aJByHaPgSEL5jWU1zO3O</t>
  </si>
  <si>
    <t>https://www.we-online.com/components/products/datasheet/430481025816.pdf</t>
  </si>
  <si>
    <t>Resistencia 10k CHP0805AFX-1002ELF</t>
  </si>
  <si>
    <t>https://www.mouser.com/ProductDetail/Bourns/CHP0805AFX-1002ELF?qs=BJlw7L4Cy79Jv8LZuArCYQ%3D%3D&amp;srsltid=AfmBOoqzyVvTinaNdBRpOzIrpk_UoZRg4C_CmUrwqcsYdmGwMJs2xA_z</t>
  </si>
  <si>
    <t>https://www.mouser.com/datasheet/3/40/1/chp_a.pdf</t>
  </si>
  <si>
    <t>y el resistor también cerca</t>
  </si>
  <si>
    <t>Capacitor 100nF GCM21BR72A104KA37K</t>
  </si>
  <si>
    <t>https://www.mouser.com/ProductDetail/Murata-Electronics/GCM21BR72A104KA37K?qs=PKjpbm2dS7zQx76EVedSAQ%3D%3D</t>
  </si>
  <si>
    <t>50V</t>
  </si>
  <si>
    <t>coloca ese capacitor muy cerca del pin EN del ESP32</t>
  </si>
  <si>
    <t>Capacitor 10uF GCM21BC71C106KE36K</t>
  </si>
  <si>
    <t>https://www.mouser.com/ProductDetail/Murata-Electronics/GCM21BC71C106KE36K?qs=QzBtWTOodeVTOttr1AxchQ%3D%3D</t>
  </si>
  <si>
    <t>16V</t>
  </si>
  <si>
    <t>Capacitor 10uF EEE-FK1C100AR</t>
  </si>
  <si>
    <t>https://www.mouser.com/ProductDetail/Panasonic/EEE-FK1C100AR?qs=n%252BNaOaZylkZfYiud3gz9mQ%3D%3D</t>
  </si>
  <si>
    <t>Resistencia 120 CRCW0805120RFKEA</t>
  </si>
  <si>
    <t>https://www.mouser.com/ProductDetail/Vishay/CRCW0805120RFKEA?qs=sGAEpiMZZMtlubZbdhIBIMnmA7lvh4oLyK3pSp%2F22lY%3D</t>
  </si>
  <si>
    <t>1/4W</t>
  </si>
  <si>
    <t>Resistencia 200 CRCW0805200RKNEAIF</t>
  </si>
  <si>
    <t>https://www.mouser.com/ProductDetail/Vishay/CRCW0805200RKNEAIF?qs=sGAEpiMZZMtlubZbdhIBIE5SSkTEu4RqJK0f98t5SjA%3D</t>
  </si>
  <si>
    <t>1/8W</t>
  </si>
  <si>
    <t xml:space="preserve">Resistencia 100 CRCW0805100RKNEAIF   </t>
  </si>
  <si>
    <t>https://www.mouser.com/ProductDetail/Vishay/CRCW0805100RKNEAIF?qs=sGAEpiMZZMtlubZbdhIBIE5SSkTEu4RqLQnmzhV0q8Q%3D</t>
  </si>
  <si>
    <t>Regla de 9 pines hembra M20-7820946</t>
  </si>
  <si>
    <t>https://www.mouser.com/ProductDetail/Harwin/M20-7820946?qs=vF78I%252BjhbY9ojjezFz0qqQ%3D%3D</t>
  </si>
  <si>
    <t>Servomotor</t>
  </si>
  <si>
    <t>MG996R</t>
  </si>
  <si>
    <t>Ya tenemos</t>
  </si>
  <si>
    <t>-</t>
  </si>
  <si>
    <t>https://www.amazon.com/dp/B0DK1V5ZSM/ref=sspa_dk_detail_2?pd_rd_i=B0DK1V5ZSM&amp;pd_rd_w=WcXg5&amp;content-id=amzn1.sym.bbb3fb5e-28ad-4062-a3ba-1f7b9f2e4371&amp;pf_rd_p=bbb3fb5e-28ad-4062-a3ba-1f7b9f2e4371&amp;pf_rd_r=D1RMVVEC3ZN0T7EEVFHP&amp;pd_rd_wg=KD2Rv&amp;pd_rd_r=e1122f3b-86b5-4061-ad47-0acdd4c545ff&amp;sp_csd=d2lkZ2V0TmFtZT1zcF9kZXRhaWxfdGhlbWF0aWM&amp;th=1</t>
  </si>
  <si>
    <t>Resistencia 330</t>
  </si>
  <si>
    <t>Capacitor 220uF EEE-FK1C221P</t>
  </si>
  <si>
    <t>https://www.mouser.com/ProductDetail/Panasonic/EEE-FK1C221P?qs=qE6bgDGEOCsietKYetHWhQ%3D%3D</t>
  </si>
  <si>
    <t>Pantalla LCD</t>
  </si>
  <si>
    <t>Pantalla LCD 20x4</t>
  </si>
  <si>
    <t>PCF8574DWR</t>
  </si>
  <si>
    <t>https://www.mouser.com/ProductDetail/Texas-Instruments/PCF8574DWR?qs=bkMXpVdiF427kosefzagkg%3D%3D</t>
  </si>
  <si>
    <t>https://www.ti.com/lit/ds/symlink/pcf8574.pdf</t>
  </si>
  <si>
    <t>Trimmer 10k 3314G-1-103E</t>
  </si>
  <si>
    <t>https://www.mouser.com/ProductDetail/Bourns/3314G-1-103E?qs=5DXzRwmrLHHE6mxfh4g4uw%3D%3D</t>
  </si>
  <si>
    <t>https://www.mouser.com/datasheet/3/40/1/3314.pdf</t>
  </si>
  <si>
    <t>Transistor SS8050-HF</t>
  </si>
  <si>
    <t>https://www.mouser.com/ProductDetail/Comchip-Technology/SS8050-HF?qs=T%252BzbugeAwjjubHjgf%252BCy6w%3D%3D</t>
  </si>
  <si>
    <t>https://www.mouser.com/datasheet/3/819/1/QW_JTR154_SS8050_HF_RevA.pdf</t>
  </si>
  <si>
    <t>Resistencia 4,7k CRCW08054K70FKEA</t>
  </si>
  <si>
    <t>https://www.mouser.com/ProductDetail/Vishay/CRCW08054K70FKEA?qs=kkyyugUlSrMIzNiWjd4LGQ%3D%3D</t>
  </si>
  <si>
    <t>Resistencia 100</t>
  </si>
  <si>
    <t>https://www.mouser.com/ProductDetail/YAGEO/RC0805JR-07100RP?qs=oypCK0zG327LLzJ1KgjADA%3D%3D</t>
  </si>
  <si>
    <t>1/8W - 5%</t>
  </si>
  <si>
    <t>Capacitor 100nF</t>
  </si>
  <si>
    <t>https://www.mouser.com/ProductDetail/KEMET/C0805C104K5RACTU?qs=Pc30aiB8zWUISNb2Qeyxfw%3D%3D</t>
  </si>
  <si>
    <t>Regla de 40 pines macho 61304011121</t>
  </si>
  <si>
    <t>https://www.mouser.com/ProductDetail/Wurth-Elektronik/61304011121?qs=PhR8RmCirEZJqAFOTF3fMQ%3D%3D</t>
  </si>
  <si>
    <t>Regla de 16 pines hembra 61301611821</t>
  </si>
  <si>
    <t>https://www.mouser.com/ProductDetail/Wurth-Elektronik/61301611821?qs=xZ%2FP%252Ba9zWqYIxo6RU%252B1Wuw%3D%3D</t>
  </si>
  <si>
    <t>Level Shifter</t>
  </si>
  <si>
    <t>Resistencia 10k</t>
  </si>
  <si>
    <t>https://www.mouser.com/ProductDetail/YAGEO/RC0805FR-0710KL?qs=7bY8808IzHq6vrU3BeiiYw%3D%3D</t>
  </si>
  <si>
    <t>1/8W - 1%</t>
  </si>
  <si>
    <t>MOSFET BSS138LT3G</t>
  </si>
  <si>
    <t>https://www.mouser.com/ProductDetail/onsemi/BSS138LT3G?qs=vNc2DXHODiIFTBAtRV5T3Q%3D%3D</t>
  </si>
  <si>
    <t>https://www.mouser.com/datasheet/3/175/1/BSS138.pdf</t>
  </si>
  <si>
    <t>Camara</t>
  </si>
  <si>
    <t xml:space="preserve">Modulo Arducam OV2640 </t>
  </si>
  <si>
    <t>https://www.amazon.com/Arducam-megap%C3%ADxeles-compatible-Mega2560-Raspberry/dp/B012UXNDOY/ref=pd_rhf_dp_s_ci_mcx_mr__d_sccl_2_1/141-7791732-9970342?pd_rd_w=InCt5&amp;content-id=amzn1.sym.c2ce25da-4d17-4f37-af20-bde98a9f0bcd:amzn1.symc.d3391730-f670-41da-8b34-61787b3edb82&amp;pf_rd_p=c2ce25da-4d17-4f37-af20-bde98a9f0bcd&amp;pf_rd_r=TYD67ZV8ARRCRK2W4T05&amp;pd_rd_wg=PeRef&amp;pd_rd_r=053f93a9-5860-44bd-8fad-705baabaeb83&amp;pd_rd_i=B012UXNDOY&amp;psc=1</t>
  </si>
  <si>
    <t>Capacitor 10uF</t>
  </si>
  <si>
    <t>Cable (falta ver cual)</t>
  </si>
  <si>
    <t>Conector macho y hembra (falta ver cual)</t>
  </si>
  <si>
    <t>Alimentacion</t>
  </si>
  <si>
    <t>USB-C Alimentacion USB4125-GF-A</t>
  </si>
  <si>
    <t>https://www.mouser.com/ProductDetail/GCT/USB4125-GF-A?qs=KUoIvG%2F9IlaIQ4zBJ6gLeA%3D%3D</t>
  </si>
  <si>
    <t>Capacitor 100uF EEE-FP1C101AP</t>
  </si>
  <si>
    <t>https://www.mouser.com/ProductDetail/Panasonic/EEE-FP1C101AP?qs=d1CqaRUMZD%2Fuw16I%252BRuXOw%3D%3D</t>
  </si>
  <si>
    <t>Resistencia 5.1k CRCW08055K10FKEA</t>
  </si>
  <si>
    <t>https://www.mouser.com/ProductDetail/Vishay/CRCW08055K10FKEA?qs=8UjxRNpjuUJoSywMOtT5pg%3D%3D</t>
  </si>
  <si>
    <t>Capacitor 1000uF EEE-FN1C102UP</t>
  </si>
  <si>
    <t>https://www.mouser.com/ProductDetail/Panasonic/EEE-FN1C102UP?qs=OlC7AqGiEDnWpbBcWrASQw%3D%3D</t>
  </si>
  <si>
    <t>Switch 7101SYZQE</t>
  </si>
  <si>
    <t>https://www.mouser.com/ProductDetail/CK/7101SYZQE?qs=V27O%2FkrGudyAxZQ5LSJq7Q%3D%3D</t>
  </si>
  <si>
    <t>5A</t>
  </si>
  <si>
    <t>4.7 - 0.76</t>
  </si>
  <si>
    <t>USB C</t>
  </si>
  <si>
    <t>USB-C Datos USB4105-GF-A</t>
  </si>
  <si>
    <t>https://www.mouser.com/ProductDetail/GCT/USB4105-GF-A?qs=KUoIvG%2F9IlY%2FMLlBMpStpA%3D%3D</t>
  </si>
  <si>
    <t>Capacitor 100uF</t>
  </si>
  <si>
    <t>Resistencia 5.1k</t>
  </si>
  <si>
    <t>Proteccion</t>
  </si>
  <si>
    <t>Diodo Schottky 1N5819HWQ-7-F</t>
  </si>
  <si>
    <t>https://www.mouser.com/ProductDetail/Diodes-Incorporated/1N5819HWQ-7-F?qs=gZXFycFWdAPDr8BmsK1ygg%3D%3D</t>
  </si>
  <si>
    <t>https://4donline.ihs.com/images/VipMasterIC/IC/DIOD/DIOD-S-A0007740344/DIOD-S-A0007740344-1.pdf?hkey=CECEF36DEECDED6468708AAF2E19C0C6</t>
  </si>
  <si>
    <t>MOSFET DMG2305UXQ-7</t>
  </si>
  <si>
    <t>https://www.mouser.com/ProductDetail/Diodes-Incorporated/DMG2305UXQ-7?qs=60RJRzIpcl%2FUiAojHt1c9w%3D%3D</t>
  </si>
  <si>
    <t>https://www.mouser.com/datasheet/3/175/1/DMG2305UXQ.pdf</t>
  </si>
  <si>
    <t>Level Shifter PWM</t>
  </si>
  <si>
    <t>Level Shifter de 4 canales TXU0104PWR</t>
  </si>
  <si>
    <t>https://www.mouser.com/ProductDetail/Texas-Instruments/TXU0104PWR?qs=QNEnbhJQKvYcSGbLlthvAQ%3D%3D</t>
  </si>
  <si>
    <t>https://www.mouser.com/datasheet/3/72/1/C0805C104K5RACTU.pdf</t>
  </si>
  <si>
    <t>COMPONENTE</t>
  </si>
  <si>
    <t>MFR NUMBER PART</t>
  </si>
  <si>
    <t>CANTIDAD</t>
  </si>
  <si>
    <t>PRECIO</t>
  </si>
  <si>
    <t>TOTAL</t>
  </si>
  <si>
    <t>ESP32-S3</t>
  </si>
  <si>
    <t xml:space="preserve">Regulador LDO de 5V a 3.3V </t>
  </si>
  <si>
    <t>MIC35302WD-TR</t>
  </si>
  <si>
    <t xml:space="preserve">LED Naranja (USB_POWER) </t>
  </si>
  <si>
    <t>HSML-C170-T0000</t>
  </si>
  <si>
    <t xml:space="preserve">LED Verde (GENERAL_POWER) </t>
  </si>
  <si>
    <t>HSMG-C170</t>
  </si>
  <si>
    <t xml:space="preserve">LED Amarillo (Pin 38) </t>
  </si>
  <si>
    <t>HSMY-C170</t>
  </si>
  <si>
    <t xml:space="preserve">Switch BOOT y RESET </t>
  </si>
  <si>
    <t xml:space="preserve">Resistencia 330 </t>
  </si>
  <si>
    <t>CRCW0805330RFKEA</t>
  </si>
  <si>
    <t xml:space="preserve">Resistencia 100    </t>
  </si>
  <si>
    <t>CRCW0805100RKNEAIF</t>
  </si>
  <si>
    <t xml:space="preserve">Resistencia 200 </t>
  </si>
  <si>
    <t>CRCW0805200RKNEAIF</t>
  </si>
  <si>
    <t xml:space="preserve">Resistencia 120 </t>
  </si>
  <si>
    <t>CRCW0805120RFKEA</t>
  </si>
  <si>
    <t xml:space="preserve">Resistencia 10k </t>
  </si>
  <si>
    <t>CHP0805AFX-1002ELF</t>
  </si>
  <si>
    <t xml:space="preserve">Capacitor 100nF </t>
  </si>
  <si>
    <t>GCM21BR72A104KA37K</t>
  </si>
  <si>
    <t xml:space="preserve">Capacitor 10uF </t>
  </si>
  <si>
    <t>GCM21BC71C106KE36K</t>
  </si>
  <si>
    <t>EEE-FK1C100AR</t>
  </si>
  <si>
    <t xml:space="preserve">Regla de 9 pines hembra </t>
  </si>
  <si>
    <t>M20-7820946</t>
  </si>
  <si>
    <t xml:space="preserve">USB-C Alimentacion </t>
  </si>
  <si>
    <t>USB4125-GF-A</t>
  </si>
  <si>
    <t xml:space="preserve">Capacitor 100uF </t>
  </si>
  <si>
    <t>EEE-FP1C101AP</t>
  </si>
  <si>
    <t xml:space="preserve">Resistencia 5.1k </t>
  </si>
  <si>
    <t>CRCW08055K10FKEA</t>
  </si>
  <si>
    <t xml:space="preserve">Capacitor 1000uF </t>
  </si>
  <si>
    <t>EEE-FN1C102UP</t>
  </si>
  <si>
    <t xml:space="preserve">Switch </t>
  </si>
  <si>
    <t>7101SYZQE</t>
  </si>
  <si>
    <t xml:space="preserve">USB-C Datos </t>
  </si>
  <si>
    <t>USB4105-GF-A</t>
  </si>
  <si>
    <t xml:space="preserve">Puente de Diodos </t>
  </si>
  <si>
    <t>USBLC6-2SC6</t>
  </si>
  <si>
    <t xml:space="preserve">Diodo Schottky </t>
  </si>
  <si>
    <t>1N5819HWQ-7-F</t>
  </si>
  <si>
    <t xml:space="preserve">MOSFET </t>
  </si>
  <si>
    <t>DMG2305UXQ-7</t>
  </si>
  <si>
    <t xml:space="preserve">Regla de 16 pines hembra </t>
  </si>
  <si>
    <t xml:space="preserve">Regla de 40 pines macho </t>
  </si>
  <si>
    <t>BSS138LT3G</t>
  </si>
  <si>
    <t xml:space="preserve">Capacitor 220uF </t>
  </si>
  <si>
    <t>EEE-FK1C221P</t>
  </si>
  <si>
    <t xml:space="preserve">Level Shifter de 4 canales </t>
  </si>
  <si>
    <t>TXU0104PWR</t>
  </si>
  <si>
    <t>I2C Backpack</t>
  </si>
  <si>
    <t xml:space="preserve">Trimmer 10k </t>
  </si>
  <si>
    <t>3314G-1-103E</t>
  </si>
  <si>
    <t xml:space="preserve">Transistor </t>
  </si>
  <si>
    <t>SS8050-HF</t>
  </si>
  <si>
    <t xml:space="preserve">Resistencia 4,7k </t>
  </si>
  <si>
    <t>CRCW08054K70FKEA</t>
  </si>
  <si>
    <t xml:space="preserve">OV2640 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</si>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</sst>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2" fontId="3" numFmtId="0" xfId="0" applyAlignment="1" applyFont="1">
      <alignment horizontal="left" readingOrder="0"/>
    </xf>
    <xf borderId="0" fillId="3" fontId="3" numFmtId="0" xfId="0" applyFill="1" applyFont="1"/>
    <xf borderId="0" fillId="0" fontId="3" numFmtId="0" xfId="0" applyAlignment="1" applyFont="1">
      <alignment horizontal="left" readingOrder="0"/>
    </xf>
    <xf borderId="0" fillId="0" fontId="3" numFmtId="0" xfId="0" applyFont="1"/>
    <xf borderId="1" fillId="4" fontId="2" numFmtId="0" xfId="0" applyAlignment="1" applyBorder="1" applyFill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4" fillId="4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/>
    </xf>
    <xf borderId="5" fillId="0" fontId="3" numFmtId="0" xfId="0" applyAlignment="1" applyBorder="1" applyFont="1">
      <alignment readingOrder="0"/>
    </xf>
    <xf borderId="6" fillId="0" fontId="8" numFmtId="0" xfId="0" applyBorder="1" applyFont="1"/>
    <xf borderId="7" fillId="0" fontId="8" numFmtId="0" xfId="0" applyBorder="1" applyFont="1"/>
    <xf borderId="8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readingOrder="0"/>
    </xf>
    <xf borderId="10" fillId="0" fontId="8" numFmtId="0" xfId="0" applyBorder="1" applyFont="1"/>
    <xf borderId="11" fillId="0" fontId="8" numFmtId="0" xfId="0" applyBorder="1" applyFont="1"/>
    <xf borderId="12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/>
    </xf>
    <xf borderId="10" fillId="0" fontId="3" numFmtId="0" xfId="0" applyBorder="1" applyFont="1"/>
    <xf borderId="12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left" readingOrder="0"/>
    </xf>
    <xf borderId="9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horizontal="center" vertical="bottom"/>
    </xf>
    <xf borderId="9" fillId="5" fontId="3" numFmtId="0" xfId="0" applyAlignment="1" applyBorder="1" applyFill="1" applyFont="1">
      <alignment readingOrder="0"/>
    </xf>
    <xf borderId="13" fillId="0" fontId="3" numFmtId="0" xfId="0" applyAlignment="1" applyBorder="1" applyFont="1">
      <alignment readingOrder="0"/>
    </xf>
    <xf borderId="14" fillId="0" fontId="8" numFmtId="0" xfId="0" applyBorder="1" applyFont="1"/>
    <xf borderId="15" fillId="0" fontId="8" numFmtId="0" xfId="0" applyBorder="1" applyFont="1"/>
    <xf borderId="16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  <xf borderId="14" fillId="0" fontId="3" numFmtId="0" xfId="0" applyBorder="1" applyFont="1"/>
    <xf borderId="16" fillId="0" fontId="3" numFmtId="0" xfId="0" applyAlignment="1" applyBorder="1" applyFont="1">
      <alignment horizontal="center"/>
    </xf>
    <xf borderId="4" fillId="4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Arducam-megap%C3%ADxeles-compatible-Mega2560-Raspberry/dp/B012UXNDOY/ref=pd_rhf_dp_s_ci_mcx_mr__d_sccl_2_1/141-7791732-9970342?pd_rd_w=InCt5&amp;content-id=amzn1.sym.c2ce25da-4d17-4f37-af20-bde98a9f0bcd:amzn1.symc.d3391730-f670-41da-8b34-61787b3edb82&amp;pf_rd_p=c2ce25da-4d17-4f37-af20-bde98a9f0bcd&amp;pf_rd_r=TYD67ZV8ARRCRK2W4T05&amp;pd_rd_wg=PeRef&amp;pd_rd_r=053f93a9-5860-44bd-8fad-705baabaeb83&amp;pd_rd_i=B012UXNDOY&amp;psc=1" TargetMode="External"/><Relationship Id="rId42" Type="http://schemas.openxmlformats.org/officeDocument/2006/relationships/hyperlink" Target="https://www.mouser.com/ProductDetail/KEMET/C0805C104K5RACTU?qs=Pc30aiB8zWUISNb2Qeyxfw%3D%3D" TargetMode="External"/><Relationship Id="rId41" Type="http://schemas.openxmlformats.org/officeDocument/2006/relationships/hyperlink" Target="https://www.mouser.com/ProductDetail/Murata-Electronics/GCM21BC71C106KE36K?qs=QzBtWTOodeVTOttr1AxchQ%3D%3D" TargetMode="External"/><Relationship Id="rId44" Type="http://schemas.openxmlformats.org/officeDocument/2006/relationships/hyperlink" Target="https://www.mouser.com/ProductDetail/Panasonic/EEE-FP1C101AP?qs=d1CqaRUMZD%2Fuw16I%252BRuXOw%3D%3D" TargetMode="External"/><Relationship Id="rId43" Type="http://schemas.openxmlformats.org/officeDocument/2006/relationships/hyperlink" Target="https://www.mouser.com/ProductDetail/GCT/USB4125-GF-A?qs=KUoIvG%2F9IlaIQ4zBJ6gLeA%3D%3D" TargetMode="External"/><Relationship Id="rId46" Type="http://schemas.openxmlformats.org/officeDocument/2006/relationships/hyperlink" Target="https://www.mouser.com/ProductDetail/Vishay/CRCW08055K10FKEA?qs=8UjxRNpjuUJoSywMOtT5pg%3D%3D" TargetMode="External"/><Relationship Id="rId45" Type="http://schemas.openxmlformats.org/officeDocument/2006/relationships/hyperlink" Target="https://www.mouser.com/ProductDetail/KEMET/C0805C104K5RACTU?qs=Pc30aiB8zWUISNb2Qeyxfw%3D%3D" TargetMode="External"/><Relationship Id="rId1" Type="http://schemas.openxmlformats.org/officeDocument/2006/relationships/hyperlink" Target="https://www.mouser.com/ProductDetail/Espressif-Systems/ESP32-S3-WROOM-1-N8R8?qs=sGAEpiMZZMu3sxpa5v1qrgCv7%252BoaLKgfH7xAI5zn0GU%3D" TargetMode="External"/><Relationship Id="rId2" Type="http://schemas.openxmlformats.org/officeDocument/2006/relationships/hyperlink" Target="https://documentation.espressif.com/esp32-s3-wroom-1_wroom-1u_datasheet_en.pdf" TargetMode="External"/><Relationship Id="rId3" Type="http://schemas.openxmlformats.org/officeDocument/2006/relationships/hyperlink" Target="https://documentation.espressif.com/esp32-s3_datasheet_en.pdf" TargetMode="External"/><Relationship Id="rId4" Type="http://schemas.openxmlformats.org/officeDocument/2006/relationships/hyperlink" Target="https://www.mouser.com/ProductDetail/Broadcom-Avago/HSML-C170-T0000?qs=sGAEpiMZZMvVL5Kk7ZYykep7BDFQx5twly4B9l07HWqqDMKTJeHc1w%3D%3D" TargetMode="External"/><Relationship Id="rId9" Type="http://schemas.openxmlformats.org/officeDocument/2006/relationships/hyperlink" Target="https://www.mouser.com/ProductDetail/Vishay/CRCW0805330RFKEA?qs=TrAHXYCGmqx6h6MysZWe0Q%3D%3D" TargetMode="External"/><Relationship Id="rId48" Type="http://schemas.openxmlformats.org/officeDocument/2006/relationships/hyperlink" Target="https://www.mouser.com/ProductDetail/CK/7101SYZQE?qs=V27O%2FkrGudyAxZQ5LSJq7Q%3D%3D" TargetMode="External"/><Relationship Id="rId47" Type="http://schemas.openxmlformats.org/officeDocument/2006/relationships/hyperlink" Target="https://www.mouser.com/ProductDetail/Panasonic/EEE-FN1C102UP?qs=OlC7AqGiEDnWpbBcWrASQw%3D%3D" TargetMode="External"/><Relationship Id="rId49" Type="http://schemas.openxmlformats.org/officeDocument/2006/relationships/hyperlink" Target="https://www.mouser.com/ProductDetail/GCT/USB4105-GF-A?qs=KUoIvG%2F9IlY%2FMLlBMpStpA%3D%3D" TargetMode="External"/><Relationship Id="rId5" Type="http://schemas.openxmlformats.org/officeDocument/2006/relationships/hyperlink" Target="https://www.mouser.com/ProductDetail/Broadcom-Avago/HSMG-C170?qs=sGAEpiMZZMvVL5Kk7ZYykU6waZc6h5a2mpct7P%2FVmRM%3D" TargetMode="External"/><Relationship Id="rId6" Type="http://schemas.openxmlformats.org/officeDocument/2006/relationships/hyperlink" Target="https://www.mouser.com/ProductDetail/Broadcom-Avago/HSMY-C170?qs=sGAEpiMZZMvVL5Kk7ZYykU6waZc6h5a2tf5h4hlvvfY%3D" TargetMode="External"/><Relationship Id="rId7" Type="http://schemas.openxmlformats.org/officeDocument/2006/relationships/hyperlink" Target="https://www.mouser.mx/ProductDetail/Microchip-Technology/MIC35302WD-TR?qs=U6T8BxXiZAWZXqeFVGyoZQ%3D%3D" TargetMode="External"/><Relationship Id="rId8" Type="http://schemas.openxmlformats.org/officeDocument/2006/relationships/hyperlink" Target="https://www.mouser.mx/datasheet/3/282/1/20005897B.pdf" TargetMode="External"/><Relationship Id="rId31" Type="http://schemas.openxmlformats.org/officeDocument/2006/relationships/hyperlink" Target="https://www.mouser.com/datasheet/3/819/1/QW_JTR154_SS8050_HF_RevA.pdf" TargetMode="External"/><Relationship Id="rId30" Type="http://schemas.openxmlformats.org/officeDocument/2006/relationships/hyperlink" Target="https://www.mouser.com/ProductDetail/Comchip-Technology/SS8050-HF?qs=T%252BzbugeAwjjubHjgf%252BCy6w%3D%3D" TargetMode="External"/><Relationship Id="rId33" Type="http://schemas.openxmlformats.org/officeDocument/2006/relationships/hyperlink" Target="https://www.mouser.com/ProductDetail/YAGEO/RC0805JR-07100RP?qs=oypCK0zG327LLzJ1KgjADA%3D%3D" TargetMode="External"/><Relationship Id="rId32" Type="http://schemas.openxmlformats.org/officeDocument/2006/relationships/hyperlink" Target="https://www.mouser.com/ProductDetail/Vishay/CRCW08054K70FKEA?qs=kkyyugUlSrMIzNiWjd4LGQ%3D%3D" TargetMode="External"/><Relationship Id="rId35" Type="http://schemas.openxmlformats.org/officeDocument/2006/relationships/hyperlink" Target="https://www.mouser.com/ProductDetail/Wurth-Elektronik/61304011121?qs=PhR8RmCirEZJqAFOTF3fMQ%3D%3D" TargetMode="External"/><Relationship Id="rId34" Type="http://schemas.openxmlformats.org/officeDocument/2006/relationships/hyperlink" Target="https://www.mouser.com/ProductDetail/KEMET/C0805C104K5RACTU?qs=Pc30aiB8zWUISNb2Qeyxfw%3D%3D" TargetMode="External"/><Relationship Id="rId37" Type="http://schemas.openxmlformats.org/officeDocument/2006/relationships/hyperlink" Target="https://www.mouser.com/ProductDetail/YAGEO/RC0805FR-0710KL?qs=7bY8808IzHq6vrU3BeiiYw%3D%3D" TargetMode="External"/><Relationship Id="rId36" Type="http://schemas.openxmlformats.org/officeDocument/2006/relationships/hyperlink" Target="https://www.mouser.com/ProductDetail/Wurth-Elektronik/61301611821?qs=xZ%2FP%252Ba9zWqYIxo6RU%252B1Wuw%3D%3D" TargetMode="External"/><Relationship Id="rId39" Type="http://schemas.openxmlformats.org/officeDocument/2006/relationships/hyperlink" Target="https://www.mouser.com/datasheet/3/175/1/BSS138.pdf" TargetMode="External"/><Relationship Id="rId38" Type="http://schemas.openxmlformats.org/officeDocument/2006/relationships/hyperlink" Target="https://www.mouser.com/ProductDetail/onsemi/BSS138LT3G?qs=vNc2DXHODiIFTBAtRV5T3Q%3D%3D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mouser.com/ProductDetail/Vishay/CRCW0805200RKNEAIF?qs=sGAEpiMZZMtlubZbdhIBIE5SSkTEu4RqJK0f98t5SjA%3D" TargetMode="External"/><Relationship Id="rId22" Type="http://schemas.openxmlformats.org/officeDocument/2006/relationships/hyperlink" Target="https://www.mouser.com/ProductDetail/Harwin/M20-7820946?qs=vF78I%252BjhbY9ojjezFz0qqQ%3D%3D" TargetMode="External"/><Relationship Id="rId21" Type="http://schemas.openxmlformats.org/officeDocument/2006/relationships/hyperlink" Target="https://www.mouser.com/ProductDetail/Vishay/CRCW0805100RKNEAIF?qs=sGAEpiMZZMtlubZbdhIBIE5SSkTEu4RqLQnmzhV0q8Q%3D" TargetMode="External"/><Relationship Id="rId24" Type="http://schemas.openxmlformats.org/officeDocument/2006/relationships/hyperlink" Target="https://www.mouser.com/ProductDetail/Vishay/CRCW0805330RFKEA?qs=TrAHXYCGmqx6h6MysZWe0Q%3D%3D" TargetMode="External"/><Relationship Id="rId23" Type="http://schemas.openxmlformats.org/officeDocument/2006/relationships/hyperlink" Target="https://www.amazon.com/dp/B0DK1V5ZSM/ref=sspa_dk_detail_2?pd_rd_i=B0DK1V5ZSM&amp;pd_rd_w=WcXg5&amp;content-id=amzn1.sym.bbb3fb5e-28ad-4062-a3ba-1f7b9f2e4371&amp;pf_rd_p=bbb3fb5e-28ad-4062-a3ba-1f7b9f2e4371&amp;pf_rd_r=D1RMVVEC3ZN0T7EEVFHP&amp;pd_rd_wg=KD2Rv&amp;pd_rd_r=e1122f3b-86b5-4061-ad47-0acdd4c545ff&amp;sp_csd=d2lkZ2V0TmFtZT1zcF9kZXRhaWxfdGhlbWF0aWM&amp;th=1" TargetMode="External"/><Relationship Id="rId60" Type="http://schemas.openxmlformats.org/officeDocument/2006/relationships/hyperlink" Target="https://www.mouser.com/datasheet/3/72/1/C0805C104K5RACTU.pdf" TargetMode="External"/><Relationship Id="rId26" Type="http://schemas.openxmlformats.org/officeDocument/2006/relationships/hyperlink" Target="https://www.mouser.com/ProductDetail/Texas-Instruments/PCF8574DWR?qs=bkMXpVdiF427kosefzagkg%3D%3D" TargetMode="External"/><Relationship Id="rId25" Type="http://schemas.openxmlformats.org/officeDocument/2006/relationships/hyperlink" Target="https://www.mouser.com/ProductDetail/Panasonic/EEE-FK1C221P?qs=qE6bgDGEOCsietKYetHWhQ%3D%3D" TargetMode="External"/><Relationship Id="rId28" Type="http://schemas.openxmlformats.org/officeDocument/2006/relationships/hyperlink" Target="https://www.mouser.com/ProductDetail/Bourns/3314G-1-103E?qs=5DXzRwmrLHHE6mxfh4g4uw%3D%3D" TargetMode="External"/><Relationship Id="rId27" Type="http://schemas.openxmlformats.org/officeDocument/2006/relationships/hyperlink" Target="https://www.ti.com/lit/ds/symlink/pcf8574.pdf" TargetMode="External"/><Relationship Id="rId29" Type="http://schemas.openxmlformats.org/officeDocument/2006/relationships/hyperlink" Target="https://www.mouser.com/datasheet/3/40/1/3314.pdf" TargetMode="External"/><Relationship Id="rId51" Type="http://schemas.openxmlformats.org/officeDocument/2006/relationships/hyperlink" Target="https://www.mouser.com/ProductDetail/KEMET/C0805C104K5RACTU?qs=Pc30aiB8zWUISNb2Qeyxfw%3D%3D" TargetMode="External"/><Relationship Id="rId50" Type="http://schemas.openxmlformats.org/officeDocument/2006/relationships/hyperlink" Target="https://www.mouser.com/ProductDetail/Panasonic/EEE-FP1C101AP?qs=d1CqaRUMZD%2Fuw16I%252BRuXOw%3D%3D" TargetMode="External"/><Relationship Id="rId53" Type="http://schemas.openxmlformats.org/officeDocument/2006/relationships/hyperlink" Target="https://www.mouser.com/ProductDetail/Diodes-Incorporated/1N5819HWQ-7-F?qs=gZXFycFWdAPDr8BmsK1ygg%3D%3D" TargetMode="External"/><Relationship Id="rId52" Type="http://schemas.openxmlformats.org/officeDocument/2006/relationships/hyperlink" Target="https://www.mouser.com/ProductDetail/Vishay/CRCW08055K10FKEA?qs=8UjxRNpjuUJoSywMOtT5pg%3D%3D" TargetMode="External"/><Relationship Id="rId11" Type="http://schemas.openxmlformats.org/officeDocument/2006/relationships/hyperlink" Target="https://www.st.com/resource/en/datasheet/usblc6-2.pdf" TargetMode="External"/><Relationship Id="rId55" Type="http://schemas.openxmlformats.org/officeDocument/2006/relationships/hyperlink" Target="https://www.mouser.com/ProductDetail/Diodes-Incorporated/DMG2305UXQ-7?qs=60RJRzIpcl%2FUiAojHt1c9w%3D%3D" TargetMode="External"/><Relationship Id="rId10" Type="http://schemas.openxmlformats.org/officeDocument/2006/relationships/hyperlink" Target="https://www.mouser.com/ProductDetail/STMicroelectronics/USBLC6-2SC6?qs=po45yt2pPpu%2FhNIlwQdTlg%3D%3D" TargetMode="External"/><Relationship Id="rId54" Type="http://schemas.openxmlformats.org/officeDocument/2006/relationships/hyperlink" Target="https://4donline.ihs.com/images/VipMasterIC/IC/DIOD/DIOD-S-A0007740344/DIOD-S-A0007740344-1.pdf?hkey=CECEF36DEECDED6468708AAF2E19C0C6" TargetMode="External"/><Relationship Id="rId13" Type="http://schemas.openxmlformats.org/officeDocument/2006/relationships/hyperlink" Target="https://www.we-online.com/components/products/datasheet/430481025816.pdf" TargetMode="External"/><Relationship Id="rId57" Type="http://schemas.openxmlformats.org/officeDocument/2006/relationships/hyperlink" Target="https://www.mouser.com/ProductDetail/YAGEO/RC0805FR-0710KL?qs=7bY8808IzHq6vrU3BeiiYw%3D%3D" TargetMode="External"/><Relationship Id="rId12" Type="http://schemas.openxmlformats.org/officeDocument/2006/relationships/hyperlink" Target="https://www.mouser.es/ProductDetail/Wurth-Elektronik/430481025816?qs=wr8lucFkNMXXxhyqbLxcbg%3D%3D&amp;srsltid=AfmBOopEAMcNki5JVHsYr8AARUbFlf-gtqm_aJByHaPgSEL5jWU1zO3O" TargetMode="External"/><Relationship Id="rId56" Type="http://schemas.openxmlformats.org/officeDocument/2006/relationships/hyperlink" Target="https://www.mouser.com/datasheet/3/175/1/DMG2305UXQ.pdf" TargetMode="External"/><Relationship Id="rId15" Type="http://schemas.openxmlformats.org/officeDocument/2006/relationships/hyperlink" Target="https://www.mouser.com/datasheet/3/40/1/chp_a.pdf" TargetMode="External"/><Relationship Id="rId59" Type="http://schemas.openxmlformats.org/officeDocument/2006/relationships/hyperlink" Target="https://www.mouser.com/ProductDetail/KEMET/C0805C104K5RACTU?qs=Pc30aiB8zWUISNb2Qeyxfw%3D%3D" TargetMode="External"/><Relationship Id="rId14" Type="http://schemas.openxmlformats.org/officeDocument/2006/relationships/hyperlink" Target="https://www.mouser.com/ProductDetail/Bourns/CHP0805AFX-1002ELF?qs=BJlw7L4Cy79Jv8LZuArCYQ%3D%3D&amp;srsltid=AfmBOoqzyVvTinaNdBRpOzIrpk_UoZRg4C_CmUrwqcsYdmGwMJs2xA_z" TargetMode="External"/><Relationship Id="rId58" Type="http://schemas.openxmlformats.org/officeDocument/2006/relationships/hyperlink" Target="https://www.mouser.com/ProductDetail/Texas-Instruments/TXU0104PWR?qs=QNEnbhJQKvYcSGbLlthvAQ%3D%3D" TargetMode="External"/><Relationship Id="rId17" Type="http://schemas.openxmlformats.org/officeDocument/2006/relationships/hyperlink" Target="https://www.mouser.com/ProductDetail/Murata-Electronics/GCM21BC71C106KE36K?qs=QzBtWTOodeVTOttr1AxchQ%3D%3D" TargetMode="External"/><Relationship Id="rId16" Type="http://schemas.openxmlformats.org/officeDocument/2006/relationships/hyperlink" Target="https://www.mouser.com/ProductDetail/Murata-Electronics/GCM21BR72A104KA37K?qs=PKjpbm2dS7zQx76EVedSAQ%3D%3D" TargetMode="External"/><Relationship Id="rId19" Type="http://schemas.openxmlformats.org/officeDocument/2006/relationships/hyperlink" Target="https://www.mouser.com/ProductDetail/Vishay/CRCW0805120RFKEA?qs=sGAEpiMZZMtlubZbdhIBIMnmA7lvh4oLyK3pSp%2F22lY%3D" TargetMode="External"/><Relationship Id="rId18" Type="http://schemas.openxmlformats.org/officeDocument/2006/relationships/hyperlink" Target="https://www.mouser.com/ProductDetail/Panasonic/EEE-FK1C100AR?qs=n%252BNaOaZylkZfYiud3gz9mQ%3D%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11" max="11" width="15.0"/>
  </cols>
  <sheetData>
    <row r="2">
      <c r="B2" s="1" t="s">
        <v>0</v>
      </c>
    </row>
    <row r="3">
      <c r="B3" s="2" t="s">
        <v>1</v>
      </c>
      <c r="C3" s="2" t="s">
        <v>2</v>
      </c>
      <c r="F3" s="2" t="s">
        <v>3</v>
      </c>
      <c r="H3" s="2" t="s">
        <v>4</v>
      </c>
      <c r="I3" s="2" t="s">
        <v>5</v>
      </c>
      <c r="J3" s="2" t="s">
        <v>6</v>
      </c>
      <c r="K3" s="3" t="s">
        <v>7</v>
      </c>
    </row>
    <row r="4">
      <c r="B4" s="4" t="s">
        <v>8</v>
      </c>
      <c r="C4" s="5" t="s">
        <v>9</v>
      </c>
      <c r="F4" s="6" t="s">
        <v>10</v>
      </c>
      <c r="H4" s="7">
        <v>6.23</v>
      </c>
      <c r="I4" s="7">
        <v>2.0</v>
      </c>
      <c r="J4" s="8">
        <f t="shared" ref="J4:J18" si="1">H4*I4</f>
        <v>12.46</v>
      </c>
      <c r="K4" s="9" t="s">
        <v>11</v>
      </c>
      <c r="M4" s="9" t="s">
        <v>12</v>
      </c>
    </row>
    <row r="5">
      <c r="C5" s="5" t="s">
        <v>13</v>
      </c>
      <c r="F5" s="9" t="s">
        <v>14</v>
      </c>
      <c r="H5" s="7">
        <v>0.91</v>
      </c>
      <c r="I5" s="7">
        <v>2.0</v>
      </c>
      <c r="J5" s="8">
        <f t="shared" si="1"/>
        <v>1.82</v>
      </c>
      <c r="K5" s="4" t="s">
        <v>15</v>
      </c>
    </row>
    <row r="6">
      <c r="C6" s="5" t="s">
        <v>16</v>
      </c>
      <c r="F6" s="9" t="s">
        <v>17</v>
      </c>
      <c r="H6" s="7">
        <v>0.28</v>
      </c>
      <c r="I6" s="7">
        <v>2.0</v>
      </c>
      <c r="J6" s="8">
        <f t="shared" si="1"/>
        <v>0.56</v>
      </c>
      <c r="K6" s="4" t="s">
        <v>18</v>
      </c>
    </row>
    <row r="7">
      <c r="B7" s="4"/>
      <c r="C7" s="5" t="s">
        <v>19</v>
      </c>
      <c r="F7" s="9" t="s">
        <v>20</v>
      </c>
      <c r="H7" s="7">
        <v>0.3</v>
      </c>
      <c r="I7" s="7">
        <v>2.0</v>
      </c>
      <c r="J7" s="8">
        <f t="shared" si="1"/>
        <v>0.6</v>
      </c>
      <c r="K7" s="4" t="s">
        <v>21</v>
      </c>
    </row>
    <row r="8">
      <c r="B8" s="4"/>
      <c r="C8" s="5" t="s">
        <v>22</v>
      </c>
      <c r="F8" s="9" t="s">
        <v>23</v>
      </c>
      <c r="H8" s="7">
        <v>1.96</v>
      </c>
      <c r="I8" s="7">
        <v>2.0</v>
      </c>
      <c r="J8" s="8">
        <f t="shared" si="1"/>
        <v>3.92</v>
      </c>
      <c r="K8" s="9" t="s">
        <v>24</v>
      </c>
    </row>
    <row r="9">
      <c r="B9" s="4"/>
      <c r="C9" s="10" t="s">
        <v>25</v>
      </c>
      <c r="F9" s="11" t="s">
        <v>26</v>
      </c>
      <c r="H9" s="12">
        <v>0.1</v>
      </c>
      <c r="I9" s="13">
        <v>2.0</v>
      </c>
      <c r="J9" s="14">
        <f t="shared" si="1"/>
        <v>0.2</v>
      </c>
      <c r="K9" s="15" t="s">
        <v>27</v>
      </c>
    </row>
    <row r="10">
      <c r="B10" s="4"/>
      <c r="C10" s="5" t="s">
        <v>28</v>
      </c>
      <c r="F10" s="9" t="s">
        <v>29</v>
      </c>
      <c r="H10" s="7">
        <v>0.36</v>
      </c>
      <c r="I10" s="7">
        <v>2.0</v>
      </c>
      <c r="J10" s="8">
        <f t="shared" si="1"/>
        <v>0.72</v>
      </c>
      <c r="K10" s="9" t="s">
        <v>30</v>
      </c>
    </row>
    <row r="11">
      <c r="C11" s="16" t="s">
        <v>31</v>
      </c>
      <c r="F11" s="9" t="s">
        <v>32</v>
      </c>
      <c r="H11" s="7">
        <v>0.57</v>
      </c>
      <c r="I11" s="7">
        <v>4.0</v>
      </c>
      <c r="J11" s="8">
        <f t="shared" si="1"/>
        <v>2.28</v>
      </c>
      <c r="K11" s="9" t="s">
        <v>33</v>
      </c>
    </row>
    <row r="12">
      <c r="C12" s="5" t="s">
        <v>34</v>
      </c>
      <c r="F12" s="9" t="s">
        <v>35</v>
      </c>
      <c r="H12" s="7">
        <v>0.38</v>
      </c>
      <c r="I12" s="7">
        <v>4.0</v>
      </c>
      <c r="J12" s="8">
        <f t="shared" si="1"/>
        <v>1.52</v>
      </c>
      <c r="K12" s="9" t="s">
        <v>36</v>
      </c>
      <c r="O12" s="4" t="s">
        <v>37</v>
      </c>
    </row>
    <row r="13">
      <c r="C13" s="5" t="s">
        <v>38</v>
      </c>
      <c r="F13" s="9" t="s">
        <v>39</v>
      </c>
      <c r="H13" s="7">
        <v>0.18</v>
      </c>
      <c r="I13" s="7">
        <v>2.0</v>
      </c>
      <c r="J13" s="8">
        <f t="shared" si="1"/>
        <v>0.36</v>
      </c>
      <c r="K13" s="4" t="s">
        <v>40</v>
      </c>
      <c r="L13" s="17"/>
      <c r="N13" s="4" t="s">
        <v>41</v>
      </c>
    </row>
    <row r="14">
      <c r="C14" s="5" t="s">
        <v>42</v>
      </c>
      <c r="F14" s="9" t="s">
        <v>43</v>
      </c>
      <c r="H14" s="7">
        <v>0.41</v>
      </c>
      <c r="I14" s="7">
        <v>6.0</v>
      </c>
      <c r="J14" s="8">
        <f t="shared" si="1"/>
        <v>2.46</v>
      </c>
      <c r="K14" s="4" t="s">
        <v>44</v>
      </c>
    </row>
    <row r="15">
      <c r="C15" s="5" t="s">
        <v>45</v>
      </c>
      <c r="F15" s="9" t="s">
        <v>46</v>
      </c>
      <c r="H15" s="7">
        <v>0.45</v>
      </c>
      <c r="I15" s="7">
        <v>2.0</v>
      </c>
      <c r="J15" s="8">
        <f t="shared" si="1"/>
        <v>0.9</v>
      </c>
      <c r="K15" s="4" t="s">
        <v>44</v>
      </c>
    </row>
    <row r="16">
      <c r="C16" s="5" t="s">
        <v>47</v>
      </c>
      <c r="F16" s="9" t="s">
        <v>48</v>
      </c>
      <c r="H16" s="7">
        <v>0.1</v>
      </c>
      <c r="I16" s="7">
        <v>4.0</v>
      </c>
      <c r="J16" s="8">
        <f t="shared" si="1"/>
        <v>0.4</v>
      </c>
      <c r="K16" s="4" t="s">
        <v>49</v>
      </c>
    </row>
    <row r="17">
      <c r="C17" s="5" t="s">
        <v>50</v>
      </c>
      <c r="F17" s="9" t="s">
        <v>51</v>
      </c>
      <c r="H17" s="7">
        <v>0.61</v>
      </c>
      <c r="I17" s="7">
        <v>2.0</v>
      </c>
      <c r="J17" s="8">
        <f t="shared" si="1"/>
        <v>1.22</v>
      </c>
      <c r="K17" s="4" t="s">
        <v>52</v>
      </c>
    </row>
    <row r="18">
      <c r="C18" s="5" t="s">
        <v>53</v>
      </c>
      <c r="F18" s="9" t="s">
        <v>54</v>
      </c>
      <c r="H18" s="7">
        <v>0.61</v>
      </c>
      <c r="I18" s="7">
        <v>2.0</v>
      </c>
      <c r="J18" s="8">
        <f t="shared" si="1"/>
        <v>1.22</v>
      </c>
      <c r="K18" s="4" t="s">
        <v>52</v>
      </c>
    </row>
    <row r="19">
      <c r="C19" s="5" t="s">
        <v>55</v>
      </c>
      <c r="F19" s="9" t="s">
        <v>56</v>
      </c>
      <c r="H19" s="7">
        <v>1.3</v>
      </c>
      <c r="I19" s="7">
        <v>2.0</v>
      </c>
      <c r="J19" s="8"/>
      <c r="K19" s="4"/>
    </row>
    <row r="20">
      <c r="B20" s="4" t="s">
        <v>57</v>
      </c>
      <c r="C20" s="4" t="s">
        <v>58</v>
      </c>
      <c r="F20" s="18" t="s">
        <v>59</v>
      </c>
      <c r="H20" s="7" t="s">
        <v>60</v>
      </c>
      <c r="I20" s="7">
        <v>4.0</v>
      </c>
      <c r="J20" s="7" t="s">
        <v>60</v>
      </c>
      <c r="K20" s="9" t="s">
        <v>61</v>
      </c>
    </row>
    <row r="21">
      <c r="C21" s="5" t="s">
        <v>62</v>
      </c>
      <c r="F21" s="9" t="s">
        <v>26</v>
      </c>
      <c r="H21" s="7">
        <v>0.1</v>
      </c>
      <c r="I21" s="7">
        <v>5.0</v>
      </c>
      <c r="J21" s="8">
        <f t="shared" ref="J21:J22" si="2">H21*I21</f>
        <v>0.5</v>
      </c>
      <c r="K21" s="4" t="s">
        <v>27</v>
      </c>
    </row>
    <row r="22">
      <c r="C22" s="5" t="s">
        <v>63</v>
      </c>
      <c r="F22" s="9" t="s">
        <v>64</v>
      </c>
      <c r="H22" s="7">
        <v>0.7</v>
      </c>
      <c r="I22" s="7">
        <v>5.0</v>
      </c>
      <c r="J22" s="8">
        <f t="shared" si="2"/>
        <v>3.5</v>
      </c>
      <c r="K22" s="4" t="s">
        <v>44</v>
      </c>
    </row>
    <row r="23">
      <c r="B23" s="4" t="s">
        <v>65</v>
      </c>
      <c r="C23" s="4" t="s">
        <v>66</v>
      </c>
      <c r="F23" s="4" t="s">
        <v>59</v>
      </c>
      <c r="H23" s="7" t="s">
        <v>60</v>
      </c>
      <c r="I23" s="7">
        <v>1.0</v>
      </c>
      <c r="J23" s="7" t="s">
        <v>60</v>
      </c>
    </row>
    <row r="24">
      <c r="C24" s="5" t="s">
        <v>67</v>
      </c>
      <c r="F24" s="9" t="s">
        <v>68</v>
      </c>
      <c r="H24" s="7">
        <v>1.99</v>
      </c>
      <c r="I24" s="7">
        <v>2.0</v>
      </c>
      <c r="J24" s="8">
        <f t="shared" ref="J24:J36" si="3">H24*I24</f>
        <v>3.98</v>
      </c>
      <c r="K24" s="9" t="s">
        <v>69</v>
      </c>
    </row>
    <row r="25">
      <c r="C25" s="5" t="s">
        <v>70</v>
      </c>
      <c r="F25" s="9" t="s">
        <v>71</v>
      </c>
      <c r="H25" s="7">
        <v>1.58</v>
      </c>
      <c r="I25" s="7">
        <v>2.0</v>
      </c>
      <c r="J25" s="8">
        <f t="shared" si="3"/>
        <v>3.16</v>
      </c>
      <c r="K25" s="9" t="s">
        <v>72</v>
      </c>
    </row>
    <row r="26">
      <c r="C26" s="5" t="s">
        <v>73</v>
      </c>
      <c r="F26" s="9" t="s">
        <v>74</v>
      </c>
      <c r="H26" s="7">
        <v>0.29</v>
      </c>
      <c r="I26" s="7">
        <v>2.0</v>
      </c>
      <c r="J26" s="8">
        <f t="shared" si="3"/>
        <v>0.58</v>
      </c>
      <c r="K26" s="9" t="s">
        <v>75</v>
      </c>
    </row>
    <row r="27">
      <c r="C27" s="5" t="s">
        <v>76</v>
      </c>
      <c r="F27" s="9" t="s">
        <v>77</v>
      </c>
      <c r="H27" s="7">
        <v>0.1</v>
      </c>
      <c r="I27" s="7">
        <v>2.0</v>
      </c>
      <c r="J27" s="8">
        <f t="shared" si="3"/>
        <v>0.2</v>
      </c>
      <c r="K27" s="4" t="s">
        <v>27</v>
      </c>
    </row>
    <row r="28">
      <c r="C28" s="5" t="s">
        <v>78</v>
      </c>
      <c r="F28" s="9" t="s">
        <v>79</v>
      </c>
      <c r="H28" s="7">
        <v>0.1</v>
      </c>
      <c r="I28" s="7">
        <v>2.0</v>
      </c>
      <c r="J28" s="8">
        <f t="shared" si="3"/>
        <v>0.2</v>
      </c>
      <c r="K28" s="4" t="s">
        <v>80</v>
      </c>
    </row>
    <row r="29">
      <c r="C29" s="5" t="s">
        <v>81</v>
      </c>
      <c r="F29" s="9" t="s">
        <v>82</v>
      </c>
      <c r="H29" s="7">
        <v>0.1</v>
      </c>
      <c r="I29" s="7">
        <v>2.0</v>
      </c>
      <c r="J29" s="8">
        <f t="shared" si="3"/>
        <v>0.2</v>
      </c>
      <c r="K29" s="4" t="s">
        <v>40</v>
      </c>
    </row>
    <row r="30">
      <c r="C30" s="5" t="s">
        <v>83</v>
      </c>
      <c r="F30" s="9" t="s">
        <v>84</v>
      </c>
      <c r="H30" s="7">
        <v>1.53</v>
      </c>
      <c r="I30" s="7">
        <v>2.0</v>
      </c>
      <c r="J30" s="8">
        <f t="shared" si="3"/>
        <v>3.06</v>
      </c>
    </row>
    <row r="31">
      <c r="C31" s="5" t="s">
        <v>85</v>
      </c>
      <c r="F31" s="9" t="s">
        <v>86</v>
      </c>
      <c r="H31" s="7">
        <v>0.69</v>
      </c>
      <c r="I31" s="7">
        <v>2.0</v>
      </c>
      <c r="J31" s="8">
        <f t="shared" si="3"/>
        <v>1.38</v>
      </c>
    </row>
    <row r="32">
      <c r="B32" s="4" t="s">
        <v>87</v>
      </c>
      <c r="C32" s="5" t="s">
        <v>88</v>
      </c>
      <c r="F32" s="6" t="s">
        <v>89</v>
      </c>
      <c r="H32" s="7">
        <v>0.13</v>
      </c>
      <c r="I32" s="7">
        <v>5.0</v>
      </c>
      <c r="J32" s="8">
        <f t="shared" si="3"/>
        <v>0.65</v>
      </c>
      <c r="K32" s="4" t="s">
        <v>90</v>
      </c>
    </row>
    <row r="33">
      <c r="B33" s="4"/>
      <c r="C33" s="5" t="s">
        <v>91</v>
      </c>
      <c r="F33" s="9" t="s">
        <v>92</v>
      </c>
      <c r="H33" s="7">
        <v>0.28</v>
      </c>
      <c r="I33" s="7">
        <v>3.0</v>
      </c>
      <c r="J33" s="8">
        <f t="shared" si="3"/>
        <v>0.84</v>
      </c>
      <c r="K33" s="9" t="s">
        <v>93</v>
      </c>
    </row>
    <row r="34">
      <c r="B34" s="4" t="s">
        <v>94</v>
      </c>
      <c r="C34" s="5" t="s">
        <v>95</v>
      </c>
      <c r="F34" s="9" t="s">
        <v>96</v>
      </c>
      <c r="H34" s="7">
        <v>25.99</v>
      </c>
      <c r="I34" s="7">
        <v>1.0</v>
      </c>
      <c r="J34" s="8">
        <f t="shared" si="3"/>
        <v>25.99</v>
      </c>
    </row>
    <row r="35">
      <c r="C35" s="5" t="s">
        <v>97</v>
      </c>
      <c r="F35" s="9" t="s">
        <v>43</v>
      </c>
      <c r="H35" s="7">
        <v>0.41</v>
      </c>
      <c r="I35" s="7">
        <v>2.0</v>
      </c>
      <c r="J35" s="8">
        <f t="shared" si="3"/>
        <v>0.82</v>
      </c>
      <c r="K35" s="4" t="s">
        <v>44</v>
      </c>
    </row>
    <row r="36">
      <c r="C36" s="5" t="s">
        <v>81</v>
      </c>
      <c r="F36" s="9" t="s">
        <v>82</v>
      </c>
      <c r="H36" s="7">
        <v>0.1</v>
      </c>
      <c r="I36" s="7">
        <v>2.0</v>
      </c>
      <c r="J36" s="8">
        <f t="shared" si="3"/>
        <v>0.2</v>
      </c>
      <c r="K36" s="4" t="s">
        <v>40</v>
      </c>
    </row>
    <row r="37">
      <c r="C37" s="4" t="s">
        <v>98</v>
      </c>
      <c r="F37" s="4"/>
      <c r="H37" s="7"/>
      <c r="I37" s="7"/>
      <c r="J37" s="8"/>
    </row>
    <row r="38">
      <c r="C38" s="5" t="s">
        <v>99</v>
      </c>
      <c r="F38" s="4"/>
      <c r="H38" s="7"/>
      <c r="I38" s="7"/>
      <c r="J38" s="8"/>
    </row>
    <row r="39">
      <c r="B39" s="4" t="s">
        <v>100</v>
      </c>
      <c r="C39" s="5" t="s">
        <v>101</v>
      </c>
      <c r="F39" s="9" t="s">
        <v>102</v>
      </c>
      <c r="H39" s="7">
        <v>0.7</v>
      </c>
      <c r="I39" s="7">
        <v>2.0</v>
      </c>
      <c r="J39" s="8">
        <f t="shared" ref="J39:J53" si="4">H39*I39</f>
        <v>1.4</v>
      </c>
    </row>
    <row r="40">
      <c r="C40" s="5" t="s">
        <v>103</v>
      </c>
      <c r="F40" s="9" t="s">
        <v>104</v>
      </c>
      <c r="H40" s="7">
        <v>0.63</v>
      </c>
      <c r="I40" s="7">
        <v>2.0</v>
      </c>
      <c r="J40" s="8">
        <f t="shared" si="4"/>
        <v>1.26</v>
      </c>
      <c r="K40" s="4" t="s">
        <v>44</v>
      </c>
    </row>
    <row r="41">
      <c r="C41" s="5" t="s">
        <v>81</v>
      </c>
      <c r="F41" s="9" t="s">
        <v>82</v>
      </c>
      <c r="H41" s="7">
        <v>0.1</v>
      </c>
      <c r="I41" s="7">
        <v>2.0</v>
      </c>
      <c r="J41" s="8">
        <f t="shared" si="4"/>
        <v>0.2</v>
      </c>
      <c r="K41" s="4" t="s">
        <v>40</v>
      </c>
    </row>
    <row r="42">
      <c r="C42" s="5" t="s">
        <v>105</v>
      </c>
      <c r="F42" s="9" t="s">
        <v>106</v>
      </c>
      <c r="H42" s="7">
        <v>0.1</v>
      </c>
      <c r="I42" s="7">
        <v>2.0</v>
      </c>
      <c r="J42" s="8">
        <f t="shared" si="4"/>
        <v>0.2</v>
      </c>
    </row>
    <row r="43">
      <c r="C43" s="5" t="s">
        <v>107</v>
      </c>
      <c r="F43" s="9" t="s">
        <v>108</v>
      </c>
      <c r="H43" s="7">
        <v>1.12</v>
      </c>
      <c r="I43" s="7">
        <v>2.0</v>
      </c>
      <c r="J43" s="8">
        <f t="shared" si="4"/>
        <v>2.24</v>
      </c>
      <c r="K43" s="4" t="s">
        <v>44</v>
      </c>
    </row>
    <row r="44">
      <c r="C44" s="5" t="s">
        <v>109</v>
      </c>
      <c r="F44" s="9" t="s">
        <v>110</v>
      </c>
      <c r="H44" s="7">
        <v>7.52</v>
      </c>
      <c r="I44" s="7">
        <v>2.0</v>
      </c>
      <c r="J44" s="8">
        <f t="shared" si="4"/>
        <v>15.04</v>
      </c>
      <c r="K44" s="4" t="s">
        <v>111</v>
      </c>
      <c r="L44" s="4" t="s">
        <v>112</v>
      </c>
    </row>
    <row r="45">
      <c r="B45" s="4" t="s">
        <v>113</v>
      </c>
      <c r="C45" s="5" t="s">
        <v>114</v>
      </c>
      <c r="F45" s="9" t="s">
        <v>115</v>
      </c>
      <c r="H45" s="7">
        <v>0.94</v>
      </c>
      <c r="I45" s="7">
        <v>2.0</v>
      </c>
      <c r="J45" s="8">
        <f t="shared" si="4"/>
        <v>1.88</v>
      </c>
    </row>
    <row r="46">
      <c r="C46" s="5" t="s">
        <v>116</v>
      </c>
      <c r="F46" s="9" t="s">
        <v>104</v>
      </c>
      <c r="H46" s="7">
        <v>0.63</v>
      </c>
      <c r="I46" s="7">
        <v>2.0</v>
      </c>
      <c r="J46" s="8">
        <f t="shared" si="4"/>
        <v>1.26</v>
      </c>
      <c r="K46" s="4" t="s">
        <v>44</v>
      </c>
    </row>
    <row r="47">
      <c r="C47" s="5" t="s">
        <v>81</v>
      </c>
      <c r="F47" s="9" t="s">
        <v>82</v>
      </c>
      <c r="H47" s="7">
        <v>0.1</v>
      </c>
      <c r="I47" s="7">
        <v>2.0</v>
      </c>
      <c r="J47" s="8">
        <f t="shared" si="4"/>
        <v>0.2</v>
      </c>
      <c r="K47" s="4" t="s">
        <v>40</v>
      </c>
    </row>
    <row r="48">
      <c r="C48" s="5" t="s">
        <v>117</v>
      </c>
      <c r="F48" s="9" t="s">
        <v>106</v>
      </c>
      <c r="H48" s="7">
        <v>0.1</v>
      </c>
      <c r="I48" s="7">
        <v>2.0</v>
      </c>
      <c r="J48" s="8">
        <f t="shared" si="4"/>
        <v>0.2</v>
      </c>
      <c r="K48" s="4" t="s">
        <v>27</v>
      </c>
    </row>
    <row r="49">
      <c r="B49" s="4" t="s">
        <v>118</v>
      </c>
      <c r="C49" s="5" t="s">
        <v>119</v>
      </c>
      <c r="F49" s="9" t="s">
        <v>120</v>
      </c>
      <c r="H49" s="7">
        <v>0.43</v>
      </c>
      <c r="I49" s="7">
        <v>2.0</v>
      </c>
      <c r="J49" s="8">
        <f t="shared" si="4"/>
        <v>0.86</v>
      </c>
      <c r="K49" s="9" t="s">
        <v>121</v>
      </c>
    </row>
    <row r="50">
      <c r="C50" s="5" t="s">
        <v>122</v>
      </c>
      <c r="F50" s="9" t="s">
        <v>123</v>
      </c>
      <c r="H50" s="7">
        <v>0.36</v>
      </c>
      <c r="I50" s="7">
        <v>2.0</v>
      </c>
      <c r="J50" s="8">
        <f t="shared" si="4"/>
        <v>0.72</v>
      </c>
      <c r="K50" s="6" t="s">
        <v>124</v>
      </c>
    </row>
    <row r="51">
      <c r="C51" s="5" t="s">
        <v>88</v>
      </c>
      <c r="F51" s="6" t="s">
        <v>89</v>
      </c>
      <c r="H51" s="7">
        <v>0.13</v>
      </c>
      <c r="I51" s="7">
        <v>2.0</v>
      </c>
      <c r="J51" s="8">
        <f t="shared" si="4"/>
        <v>0.26</v>
      </c>
    </row>
    <row r="52">
      <c r="B52" s="4" t="s">
        <v>125</v>
      </c>
      <c r="C52" s="5" t="s">
        <v>126</v>
      </c>
      <c r="F52" s="9" t="s">
        <v>127</v>
      </c>
      <c r="H52" s="7">
        <v>0.99</v>
      </c>
      <c r="I52" s="7">
        <v>2.0</v>
      </c>
      <c r="J52" s="8">
        <f t="shared" si="4"/>
        <v>1.98</v>
      </c>
    </row>
    <row r="53">
      <c r="C53" s="5" t="s">
        <v>81</v>
      </c>
      <c r="F53" s="9" t="s">
        <v>82</v>
      </c>
      <c r="H53" s="7">
        <v>0.1</v>
      </c>
      <c r="I53" s="7">
        <v>4.0</v>
      </c>
      <c r="J53" s="8">
        <f t="shared" si="4"/>
        <v>0.4</v>
      </c>
      <c r="K53" s="9" t="s">
        <v>128</v>
      </c>
      <c r="O53" s="4" t="s">
        <v>40</v>
      </c>
    </row>
    <row r="55">
      <c r="J55" s="19">
        <f>SUM(J3:J53)</f>
        <v>104</v>
      </c>
    </row>
  </sheetData>
  <mergeCells count="116">
    <mergeCell ref="B2:J2"/>
    <mergeCell ref="C3:E3"/>
    <mergeCell ref="F3:G3"/>
    <mergeCell ref="C4:E4"/>
    <mergeCell ref="F4:G4"/>
    <mergeCell ref="C5:E5"/>
    <mergeCell ref="F5:G5"/>
    <mergeCell ref="C6:E6"/>
    <mergeCell ref="F6:G6"/>
    <mergeCell ref="C7:E7"/>
    <mergeCell ref="F7:G7"/>
    <mergeCell ref="C8:E8"/>
    <mergeCell ref="F8:G8"/>
    <mergeCell ref="F9:G9"/>
    <mergeCell ref="C9:E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F16:G16"/>
    <mergeCell ref="C20:E20"/>
    <mergeCell ref="F20:G20"/>
    <mergeCell ref="K20:L20"/>
    <mergeCell ref="C16:E16"/>
    <mergeCell ref="C17:E17"/>
    <mergeCell ref="F17:G17"/>
    <mergeCell ref="C18:E18"/>
    <mergeCell ref="F18:G18"/>
    <mergeCell ref="C19:E19"/>
    <mergeCell ref="F19:G19"/>
    <mergeCell ref="C28:E28"/>
    <mergeCell ref="F28:G28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F53:G53"/>
    <mergeCell ref="C53:E53"/>
    <mergeCell ref="C54:E54"/>
    <mergeCell ref="F54:G54"/>
    <mergeCell ref="C55:E55"/>
    <mergeCell ref="F55:G55"/>
    <mergeCell ref="C56:E56"/>
    <mergeCell ref="F56:G56"/>
    <mergeCell ref="C21:E21"/>
    <mergeCell ref="F21:G21"/>
    <mergeCell ref="C22:E22"/>
    <mergeCell ref="F22:G22"/>
    <mergeCell ref="C23:E23"/>
    <mergeCell ref="F23:G23"/>
    <mergeCell ref="F24:G24"/>
    <mergeCell ref="C24:E24"/>
    <mergeCell ref="C25:E25"/>
    <mergeCell ref="F25:G25"/>
    <mergeCell ref="C26:E26"/>
    <mergeCell ref="F26:G26"/>
    <mergeCell ref="C27:E27"/>
    <mergeCell ref="F27:G27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57:E57"/>
    <mergeCell ref="F57:G57"/>
    <mergeCell ref="C58:E58"/>
    <mergeCell ref="F58:G58"/>
    <mergeCell ref="C59:E59"/>
    <mergeCell ref="F59:G59"/>
  </mergeCells>
  <hyperlinks>
    <hyperlink r:id="rId1" ref="F4"/>
    <hyperlink r:id="rId2" ref="K4"/>
    <hyperlink r:id="rId3" location="cd-pins-peri-assignment" ref="M4"/>
    <hyperlink r:id="rId4" ref="F5"/>
    <hyperlink r:id="rId5" ref="F6"/>
    <hyperlink r:id="rId6" ref="F7"/>
    <hyperlink r:id="rId7" ref="F8"/>
    <hyperlink r:id="rId8" ref="K8"/>
    <hyperlink r:id="rId9" ref="F9"/>
    <hyperlink r:id="rId10" ref="F10"/>
    <hyperlink r:id="rId11" ref="K10"/>
    <hyperlink r:id="rId12" ref="F11"/>
    <hyperlink r:id="rId13" ref="K11"/>
    <hyperlink r:id="rId14" ref="F12"/>
    <hyperlink r:id="rId15" ref="K12"/>
    <hyperlink r:id="rId16" ref="F13"/>
    <hyperlink r:id="rId17" ref="F14"/>
    <hyperlink r:id="rId18" ref="F15"/>
    <hyperlink r:id="rId19" ref="F16"/>
    <hyperlink r:id="rId20" ref="F17"/>
    <hyperlink r:id="rId21" ref="F18"/>
    <hyperlink r:id="rId22" ref="F19"/>
    <hyperlink r:id="rId23" ref="K20"/>
    <hyperlink r:id="rId24" ref="F21"/>
    <hyperlink r:id="rId25" ref="F22"/>
    <hyperlink r:id="rId26" ref="F24"/>
    <hyperlink r:id="rId27" ref="K24"/>
    <hyperlink r:id="rId28" ref="F25"/>
    <hyperlink r:id="rId29" ref="K25"/>
    <hyperlink r:id="rId30" ref="F26"/>
    <hyperlink r:id="rId31" ref="K26"/>
    <hyperlink r:id="rId32" ref="F27"/>
    <hyperlink r:id="rId33" ref="F28"/>
    <hyperlink r:id="rId34" ref="F29"/>
    <hyperlink r:id="rId35" ref="F30"/>
    <hyperlink r:id="rId36" ref="F31"/>
    <hyperlink r:id="rId37" ref="F32"/>
    <hyperlink r:id="rId38" ref="F33"/>
    <hyperlink r:id="rId39" ref="K33"/>
    <hyperlink r:id="rId40" ref="F34"/>
    <hyperlink r:id="rId41" ref="F35"/>
    <hyperlink r:id="rId42" ref="F36"/>
    <hyperlink r:id="rId43" ref="F39"/>
    <hyperlink r:id="rId44" ref="F40"/>
    <hyperlink r:id="rId45" ref="F41"/>
    <hyperlink r:id="rId46" ref="F42"/>
    <hyperlink r:id="rId47" ref="F43"/>
    <hyperlink r:id="rId48" ref="F44"/>
    <hyperlink r:id="rId49" ref="F45"/>
    <hyperlink r:id="rId50" ref="F46"/>
    <hyperlink r:id="rId51" ref="F47"/>
    <hyperlink r:id="rId52" ref="F48"/>
    <hyperlink r:id="rId53" ref="F49"/>
    <hyperlink r:id="rId54" ref="K49"/>
    <hyperlink r:id="rId55" ref="F50"/>
    <hyperlink r:id="rId56" ref="K50"/>
    <hyperlink r:id="rId57" ref="F51"/>
    <hyperlink r:id="rId58" ref="F52"/>
    <hyperlink r:id="rId59" ref="F53"/>
    <hyperlink r:id="rId60" ref="K53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75"/>
  </cols>
  <sheetData>
    <row r="2">
      <c r="B2" s="20" t="s">
        <v>129</v>
      </c>
      <c r="C2" s="21"/>
      <c r="D2" s="22"/>
      <c r="E2" s="23" t="s">
        <v>130</v>
      </c>
      <c r="F2" s="24"/>
      <c r="G2" s="23" t="s">
        <v>131</v>
      </c>
      <c r="H2" s="24"/>
      <c r="I2" s="23" t="s">
        <v>132</v>
      </c>
      <c r="J2" s="24"/>
      <c r="K2" s="23" t="s">
        <v>133</v>
      </c>
    </row>
    <row r="3">
      <c r="B3" s="25" t="s">
        <v>134</v>
      </c>
      <c r="C3" s="26"/>
      <c r="D3" s="27"/>
      <c r="E3" s="28" t="s">
        <v>9</v>
      </c>
      <c r="F3" s="29"/>
      <c r="G3" s="28">
        <v>2.0</v>
      </c>
      <c r="H3" s="29"/>
      <c r="I3" s="28">
        <v>6.23</v>
      </c>
      <c r="J3" s="30"/>
      <c r="K3" s="31">
        <f t="shared" ref="K3:K36" si="1">G3*I3</f>
        <v>12.46</v>
      </c>
    </row>
    <row r="4">
      <c r="B4" s="32" t="s">
        <v>135</v>
      </c>
      <c r="C4" s="33"/>
      <c r="D4" s="34"/>
      <c r="E4" s="35" t="s">
        <v>136</v>
      </c>
      <c r="F4" s="36"/>
      <c r="G4" s="35">
        <v>2.0</v>
      </c>
      <c r="H4" s="36"/>
      <c r="I4" s="35">
        <v>1.96</v>
      </c>
      <c r="J4" s="37"/>
      <c r="K4" s="38">
        <f t="shared" si="1"/>
        <v>3.92</v>
      </c>
    </row>
    <row r="5">
      <c r="B5" s="32" t="s">
        <v>137</v>
      </c>
      <c r="C5" s="33"/>
      <c r="D5" s="34"/>
      <c r="E5" s="35" t="s">
        <v>138</v>
      </c>
      <c r="F5" s="36"/>
      <c r="G5" s="35">
        <v>2.0</v>
      </c>
      <c r="H5" s="36"/>
      <c r="I5" s="35">
        <v>0.91</v>
      </c>
      <c r="J5" s="37"/>
      <c r="K5" s="38">
        <f t="shared" si="1"/>
        <v>1.82</v>
      </c>
    </row>
    <row r="6">
      <c r="B6" s="32" t="s">
        <v>139</v>
      </c>
      <c r="C6" s="33"/>
      <c r="D6" s="34"/>
      <c r="E6" s="35" t="s">
        <v>140</v>
      </c>
      <c r="F6" s="36"/>
      <c r="G6" s="35">
        <v>2.0</v>
      </c>
      <c r="H6" s="36"/>
      <c r="I6" s="35">
        <v>0.28</v>
      </c>
      <c r="J6" s="37"/>
      <c r="K6" s="38">
        <f t="shared" si="1"/>
        <v>0.56</v>
      </c>
    </row>
    <row r="7">
      <c r="B7" s="32" t="s">
        <v>141</v>
      </c>
      <c r="C7" s="33"/>
      <c r="D7" s="34"/>
      <c r="E7" s="35" t="s">
        <v>142</v>
      </c>
      <c r="F7" s="36"/>
      <c r="G7" s="35">
        <v>2.0</v>
      </c>
      <c r="H7" s="36"/>
      <c r="I7" s="35">
        <v>0.3</v>
      </c>
      <c r="J7" s="37"/>
      <c r="K7" s="38">
        <f t="shared" si="1"/>
        <v>0.6</v>
      </c>
    </row>
    <row r="8">
      <c r="B8" s="39" t="s">
        <v>143</v>
      </c>
      <c r="C8" s="33"/>
      <c r="D8" s="34"/>
      <c r="E8" s="35">
        <v>4.30481025816E11</v>
      </c>
      <c r="F8" s="36"/>
      <c r="G8" s="35">
        <v>4.0</v>
      </c>
      <c r="H8" s="36"/>
      <c r="I8" s="35">
        <v>0.57</v>
      </c>
      <c r="J8" s="37"/>
      <c r="K8" s="38">
        <f t="shared" si="1"/>
        <v>2.28</v>
      </c>
    </row>
    <row r="9">
      <c r="B9" s="40" t="s">
        <v>144</v>
      </c>
      <c r="C9" s="33"/>
      <c r="D9" s="34"/>
      <c r="E9" s="35" t="s">
        <v>145</v>
      </c>
      <c r="F9" s="36"/>
      <c r="G9" s="35">
        <v>10.0</v>
      </c>
      <c r="H9" s="36"/>
      <c r="I9" s="41">
        <v>0.1</v>
      </c>
      <c r="J9" s="37"/>
      <c r="K9" s="38">
        <f t="shared" si="1"/>
        <v>1</v>
      </c>
    </row>
    <row r="10">
      <c r="B10" s="32" t="s">
        <v>146</v>
      </c>
      <c r="C10" s="33"/>
      <c r="D10" s="34"/>
      <c r="E10" s="35" t="s">
        <v>147</v>
      </c>
      <c r="F10" s="36"/>
      <c r="G10" s="35">
        <v>4.0</v>
      </c>
      <c r="H10" s="36"/>
      <c r="I10" s="35">
        <v>0.61</v>
      </c>
      <c r="J10" s="37"/>
      <c r="K10" s="38">
        <f t="shared" si="1"/>
        <v>2.44</v>
      </c>
    </row>
    <row r="11">
      <c r="B11" s="32" t="s">
        <v>148</v>
      </c>
      <c r="C11" s="33"/>
      <c r="D11" s="34"/>
      <c r="E11" s="35" t="s">
        <v>149</v>
      </c>
      <c r="F11" s="36"/>
      <c r="G11" s="35">
        <v>2.0</v>
      </c>
      <c r="H11" s="36"/>
      <c r="I11" s="35">
        <v>0.61</v>
      </c>
      <c r="J11" s="37"/>
      <c r="K11" s="38">
        <f t="shared" si="1"/>
        <v>1.22</v>
      </c>
    </row>
    <row r="12">
      <c r="B12" s="32" t="s">
        <v>150</v>
      </c>
      <c r="C12" s="33"/>
      <c r="D12" s="34"/>
      <c r="E12" s="35" t="s">
        <v>151</v>
      </c>
      <c r="F12" s="36"/>
      <c r="G12" s="35">
        <v>4.0</v>
      </c>
      <c r="H12" s="36"/>
      <c r="I12" s="35">
        <v>0.1</v>
      </c>
      <c r="J12" s="37"/>
      <c r="K12" s="38">
        <f t="shared" si="1"/>
        <v>0.4</v>
      </c>
    </row>
    <row r="13">
      <c r="B13" s="32" t="s">
        <v>152</v>
      </c>
      <c r="C13" s="33"/>
      <c r="D13" s="34"/>
      <c r="E13" s="35" t="s">
        <v>153</v>
      </c>
      <c r="F13" s="36"/>
      <c r="G13" s="35">
        <v>16.0</v>
      </c>
      <c r="H13" s="36"/>
      <c r="I13" s="35">
        <v>0.38</v>
      </c>
      <c r="J13" s="37"/>
      <c r="K13" s="38">
        <f t="shared" si="1"/>
        <v>6.08</v>
      </c>
    </row>
    <row r="14">
      <c r="B14" s="42" t="s">
        <v>154</v>
      </c>
      <c r="C14" s="33"/>
      <c r="D14" s="34"/>
      <c r="E14" s="35" t="s">
        <v>155</v>
      </c>
      <c r="F14" s="36"/>
      <c r="G14" s="35">
        <v>20.0</v>
      </c>
      <c r="H14" s="36"/>
      <c r="I14" s="35">
        <v>0.18</v>
      </c>
      <c r="J14" s="37"/>
      <c r="K14" s="38">
        <f t="shared" si="1"/>
        <v>3.6</v>
      </c>
    </row>
    <row r="15">
      <c r="B15" s="42" t="s">
        <v>156</v>
      </c>
      <c r="C15" s="33"/>
      <c r="D15" s="34"/>
      <c r="E15" s="35" t="s">
        <v>157</v>
      </c>
      <c r="F15" s="36"/>
      <c r="G15" s="35">
        <v>6.0</v>
      </c>
      <c r="H15" s="36"/>
      <c r="I15" s="35">
        <v>0.41</v>
      </c>
      <c r="J15" s="37"/>
      <c r="K15" s="38">
        <f t="shared" si="1"/>
        <v>2.46</v>
      </c>
    </row>
    <row r="16">
      <c r="B16" s="32" t="s">
        <v>97</v>
      </c>
      <c r="C16" s="33"/>
      <c r="D16" s="34"/>
      <c r="E16" s="35" t="s">
        <v>158</v>
      </c>
      <c r="F16" s="36"/>
      <c r="G16" s="35">
        <v>2.0</v>
      </c>
      <c r="H16" s="36"/>
      <c r="I16" s="35">
        <v>0.45</v>
      </c>
      <c r="J16" s="37"/>
      <c r="K16" s="38">
        <f t="shared" si="1"/>
        <v>0.9</v>
      </c>
    </row>
    <row r="17">
      <c r="B17" s="42" t="s">
        <v>159</v>
      </c>
      <c r="C17" s="33"/>
      <c r="D17" s="34"/>
      <c r="E17" s="35" t="s">
        <v>160</v>
      </c>
      <c r="F17" s="36"/>
      <c r="G17" s="35">
        <v>4.0</v>
      </c>
      <c r="H17" s="36"/>
      <c r="I17" s="35">
        <v>1.3</v>
      </c>
      <c r="J17" s="37"/>
      <c r="K17" s="38">
        <f t="shared" si="1"/>
        <v>5.2</v>
      </c>
    </row>
    <row r="18">
      <c r="B18" s="32" t="s">
        <v>161</v>
      </c>
      <c r="C18" s="33"/>
      <c r="D18" s="34"/>
      <c r="E18" s="35" t="s">
        <v>162</v>
      </c>
      <c r="F18" s="36"/>
      <c r="G18" s="35">
        <v>2.0</v>
      </c>
      <c r="H18" s="36"/>
      <c r="I18" s="35">
        <v>0.7</v>
      </c>
      <c r="J18" s="37"/>
      <c r="K18" s="38">
        <f t="shared" si="1"/>
        <v>1.4</v>
      </c>
    </row>
    <row r="19">
      <c r="B19" s="32" t="s">
        <v>163</v>
      </c>
      <c r="C19" s="33"/>
      <c r="D19" s="34"/>
      <c r="E19" s="35" t="s">
        <v>164</v>
      </c>
      <c r="F19" s="36"/>
      <c r="G19" s="35">
        <v>4.0</v>
      </c>
      <c r="H19" s="36"/>
      <c r="I19" s="35">
        <v>0.63</v>
      </c>
      <c r="J19" s="37"/>
      <c r="K19" s="38">
        <f t="shared" si="1"/>
        <v>2.52</v>
      </c>
    </row>
    <row r="20">
      <c r="B20" s="42" t="s">
        <v>165</v>
      </c>
      <c r="C20" s="33"/>
      <c r="D20" s="34"/>
      <c r="E20" s="35" t="s">
        <v>166</v>
      </c>
      <c r="F20" s="36"/>
      <c r="G20" s="35">
        <v>8.0</v>
      </c>
      <c r="H20" s="36"/>
      <c r="I20" s="35">
        <v>0.1</v>
      </c>
      <c r="J20" s="37"/>
      <c r="K20" s="38">
        <f t="shared" si="1"/>
        <v>0.8</v>
      </c>
    </row>
    <row r="21">
      <c r="B21" s="32" t="s">
        <v>167</v>
      </c>
      <c r="C21" s="33"/>
      <c r="D21" s="34"/>
      <c r="E21" s="35" t="s">
        <v>168</v>
      </c>
      <c r="F21" s="36"/>
      <c r="G21" s="35">
        <v>2.0</v>
      </c>
      <c r="H21" s="36"/>
      <c r="I21" s="35">
        <v>1.12</v>
      </c>
      <c r="J21" s="37"/>
      <c r="K21" s="38">
        <f t="shared" si="1"/>
        <v>2.24</v>
      </c>
    </row>
    <row r="22">
      <c r="B22" s="42" t="s">
        <v>169</v>
      </c>
      <c r="C22" s="33"/>
      <c r="D22" s="34"/>
      <c r="E22" s="35" t="s">
        <v>170</v>
      </c>
      <c r="F22" s="36"/>
      <c r="G22" s="35">
        <v>2.0</v>
      </c>
      <c r="H22" s="36"/>
      <c r="I22" s="35">
        <v>7.52</v>
      </c>
      <c r="J22" s="37"/>
      <c r="K22" s="38">
        <f t="shared" si="1"/>
        <v>15.04</v>
      </c>
    </row>
    <row r="23">
      <c r="B23" s="32" t="s">
        <v>171</v>
      </c>
      <c r="C23" s="33"/>
      <c r="D23" s="34"/>
      <c r="E23" s="35" t="s">
        <v>172</v>
      </c>
      <c r="F23" s="36"/>
      <c r="G23" s="35">
        <v>2.0</v>
      </c>
      <c r="H23" s="36"/>
      <c r="I23" s="35">
        <v>0.94</v>
      </c>
      <c r="J23" s="37"/>
      <c r="K23" s="38">
        <f t="shared" si="1"/>
        <v>1.88</v>
      </c>
    </row>
    <row r="24">
      <c r="B24" s="32" t="s">
        <v>173</v>
      </c>
      <c r="C24" s="33"/>
      <c r="D24" s="34"/>
      <c r="E24" s="35" t="s">
        <v>174</v>
      </c>
      <c r="F24" s="36"/>
      <c r="G24" s="35">
        <v>2.0</v>
      </c>
      <c r="H24" s="36"/>
      <c r="I24" s="35">
        <v>0.36</v>
      </c>
      <c r="J24" s="37"/>
      <c r="K24" s="38">
        <f t="shared" si="1"/>
        <v>0.72</v>
      </c>
    </row>
    <row r="25">
      <c r="B25" s="32" t="s">
        <v>175</v>
      </c>
      <c r="C25" s="33"/>
      <c r="D25" s="34"/>
      <c r="E25" s="35" t="s">
        <v>176</v>
      </c>
      <c r="F25" s="36"/>
      <c r="G25" s="35">
        <v>2.0</v>
      </c>
      <c r="H25" s="36"/>
      <c r="I25" s="35">
        <v>0.43</v>
      </c>
      <c r="J25" s="37"/>
      <c r="K25" s="38">
        <f t="shared" si="1"/>
        <v>0.86</v>
      </c>
    </row>
    <row r="26">
      <c r="B26" s="42" t="s">
        <v>177</v>
      </c>
      <c r="C26" s="33"/>
      <c r="D26" s="34"/>
      <c r="E26" s="35" t="s">
        <v>178</v>
      </c>
      <c r="F26" s="36"/>
      <c r="G26" s="35">
        <v>2.0</v>
      </c>
      <c r="H26" s="36"/>
      <c r="I26" s="35">
        <v>0.36</v>
      </c>
      <c r="J26" s="37"/>
      <c r="K26" s="38">
        <f t="shared" si="1"/>
        <v>0.72</v>
      </c>
    </row>
    <row r="27">
      <c r="B27" s="32" t="s">
        <v>179</v>
      </c>
      <c r="C27" s="33"/>
      <c r="D27" s="34"/>
      <c r="E27" s="35">
        <v>6.1301611821E10</v>
      </c>
      <c r="F27" s="36"/>
      <c r="G27" s="35">
        <v>2.0</v>
      </c>
      <c r="H27" s="36"/>
      <c r="I27" s="35">
        <v>0.69</v>
      </c>
      <c r="J27" s="37"/>
      <c r="K27" s="38">
        <f t="shared" si="1"/>
        <v>1.38</v>
      </c>
    </row>
    <row r="28">
      <c r="B28" s="32" t="s">
        <v>180</v>
      </c>
      <c r="C28" s="33"/>
      <c r="D28" s="34"/>
      <c r="E28" s="35">
        <v>6.1304011121E10</v>
      </c>
      <c r="F28" s="36"/>
      <c r="G28" s="35">
        <v>2.0</v>
      </c>
      <c r="H28" s="36"/>
      <c r="I28" s="35">
        <v>1.53</v>
      </c>
      <c r="J28" s="37"/>
      <c r="K28" s="38">
        <f t="shared" si="1"/>
        <v>3.06</v>
      </c>
    </row>
    <row r="29">
      <c r="B29" s="42" t="s">
        <v>177</v>
      </c>
      <c r="C29" s="33"/>
      <c r="D29" s="34"/>
      <c r="E29" s="35" t="s">
        <v>181</v>
      </c>
      <c r="F29" s="36"/>
      <c r="G29" s="35">
        <v>4.0</v>
      </c>
      <c r="H29" s="36"/>
      <c r="I29" s="35">
        <v>0.28</v>
      </c>
      <c r="J29" s="37"/>
      <c r="K29" s="38">
        <f t="shared" si="1"/>
        <v>1.12</v>
      </c>
    </row>
    <row r="30">
      <c r="B30" s="32" t="s">
        <v>182</v>
      </c>
      <c r="C30" s="33"/>
      <c r="D30" s="34"/>
      <c r="E30" s="35" t="s">
        <v>183</v>
      </c>
      <c r="F30" s="36"/>
      <c r="G30" s="35">
        <v>8.0</v>
      </c>
      <c r="H30" s="36"/>
      <c r="I30" s="35">
        <v>0.7</v>
      </c>
      <c r="J30" s="37"/>
      <c r="K30" s="38">
        <f t="shared" si="1"/>
        <v>5.6</v>
      </c>
    </row>
    <row r="31">
      <c r="B31" s="32" t="s">
        <v>184</v>
      </c>
      <c r="C31" s="33"/>
      <c r="D31" s="34"/>
      <c r="E31" s="35" t="s">
        <v>185</v>
      </c>
      <c r="F31" s="36"/>
      <c r="G31" s="35">
        <v>2.0</v>
      </c>
      <c r="H31" s="36"/>
      <c r="I31" s="35">
        <v>0.99</v>
      </c>
      <c r="J31" s="37"/>
      <c r="K31" s="38">
        <f t="shared" si="1"/>
        <v>1.98</v>
      </c>
    </row>
    <row r="32">
      <c r="B32" s="32" t="s">
        <v>186</v>
      </c>
      <c r="C32" s="33"/>
      <c r="D32" s="34"/>
      <c r="E32" s="35" t="s">
        <v>67</v>
      </c>
      <c r="F32" s="36"/>
      <c r="G32" s="35">
        <v>2.0</v>
      </c>
      <c r="H32" s="36"/>
      <c r="I32" s="35">
        <v>1.99</v>
      </c>
      <c r="J32" s="37"/>
      <c r="K32" s="38">
        <f t="shared" si="1"/>
        <v>3.98</v>
      </c>
    </row>
    <row r="33">
      <c r="B33" s="42" t="s">
        <v>187</v>
      </c>
      <c r="C33" s="33"/>
      <c r="D33" s="34"/>
      <c r="E33" s="35" t="s">
        <v>188</v>
      </c>
      <c r="F33" s="36"/>
      <c r="G33" s="35">
        <v>2.0</v>
      </c>
      <c r="H33" s="36"/>
      <c r="I33" s="35">
        <v>1.58</v>
      </c>
      <c r="J33" s="37"/>
      <c r="K33" s="38">
        <f t="shared" si="1"/>
        <v>3.16</v>
      </c>
    </row>
    <row r="34">
      <c r="B34" s="32" t="s">
        <v>189</v>
      </c>
      <c r="C34" s="33"/>
      <c r="D34" s="34"/>
      <c r="E34" s="35" t="s">
        <v>190</v>
      </c>
      <c r="F34" s="36"/>
      <c r="G34" s="35">
        <v>2.0</v>
      </c>
      <c r="H34" s="36"/>
      <c r="I34" s="35">
        <v>0.29</v>
      </c>
      <c r="J34" s="37"/>
      <c r="K34" s="38">
        <f t="shared" si="1"/>
        <v>0.58</v>
      </c>
    </row>
    <row r="35">
      <c r="B35" s="32" t="s">
        <v>191</v>
      </c>
      <c r="C35" s="33"/>
      <c r="D35" s="34"/>
      <c r="E35" s="35" t="s">
        <v>192</v>
      </c>
      <c r="F35" s="36"/>
      <c r="G35" s="35">
        <v>2.0</v>
      </c>
      <c r="H35" s="36"/>
      <c r="I35" s="35">
        <v>0.1</v>
      </c>
      <c r="J35" s="37"/>
      <c r="K35" s="38">
        <f t="shared" si="1"/>
        <v>0.2</v>
      </c>
    </row>
    <row r="36">
      <c r="B36" s="43" t="s">
        <v>95</v>
      </c>
      <c r="C36" s="44"/>
      <c r="D36" s="45"/>
      <c r="E36" s="46" t="s">
        <v>193</v>
      </c>
      <c r="F36" s="47"/>
      <c r="G36" s="46">
        <v>1.0</v>
      </c>
      <c r="H36" s="47"/>
      <c r="I36" s="46">
        <v>25.99</v>
      </c>
      <c r="J36" s="48"/>
      <c r="K36" s="49">
        <f t="shared" si="1"/>
        <v>25.99</v>
      </c>
    </row>
    <row r="37">
      <c r="J37" s="50" t="s">
        <v>194</v>
      </c>
      <c r="K37" s="51">
        <f>SUM(K3:K36)</f>
        <v>118.17</v>
      </c>
    </row>
  </sheetData>
  <mergeCells count="35">
    <mergeCell ref="B22:D22"/>
    <mergeCell ref="B23:D23"/>
    <mergeCell ref="B3:D3"/>
    <mergeCell ref="B4:D4"/>
    <mergeCell ref="B5:D5"/>
    <mergeCell ref="B8:D8"/>
    <mergeCell ref="B9:D9"/>
    <mergeCell ref="B24:D24"/>
    <mergeCell ref="B2:D2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6:D6"/>
    <mergeCell ref="B7:D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</mergeCells>
  <drawing r:id="rId1"/>
</worksheet>
</file>